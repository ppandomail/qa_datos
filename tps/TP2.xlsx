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(x - x_mean) * (y - y_mean)</t>
      </text>
    </comment>
    <comment authorId="0" ref="D16">
      <text>
        <t xml:space="preserve">(x - x_mean) ** 2</t>
      </text>
    </comment>
    <comment authorId="0" ref="E16">
      <text>
        <t xml:space="preserve">(y - y_mean) ** 2</t>
      </text>
    </comment>
    <comment authorId="0" ref="F16">
      <text>
        <t xml:space="preserve">b1 * x + b0</t>
      </text>
    </comment>
    <comment authorId="0" ref="G16">
      <text>
        <t xml:space="preserve">(y - y_pred) ** 2
</t>
      </text>
    </comment>
    <comment authorId="0" ref="B25">
      <text>
        <t xml:space="preserve">numerador / denominador</t>
      </text>
    </comment>
    <comment authorId="0" ref="B26">
      <text>
        <t xml:space="preserve">y_mean - b1 * x_mean </t>
      </text>
    </comment>
    <comment authorId="0" ref="B27">
      <text>
        <t xml:space="preserve">1 - (ss_res / ss_total)</t>
      </text>
    </comment>
    <comment authorId="0" ref="D27">
      <text>
        <t xml:space="preserve">El valor de R2 es equivalente a la correlación lineal de Pearson entre y e y_pred al cuadrado
</t>
      </text>
    </comment>
    <comment authorId="0" ref="D30">
      <text>
        <t xml:space="preserve">b0 + b1x
</t>
      </text>
    </comment>
  </commentList>
</comments>
</file>

<file path=xl/sharedStrings.xml><?xml version="1.0" encoding="utf-8"?>
<sst xmlns="http://schemas.openxmlformats.org/spreadsheetml/2006/main" count="25" uniqueCount="20">
  <si>
    <r>
      <rPr>
        <rFont val="Arial"/>
        <color theme="1"/>
        <sz val="23.0"/>
      </rPr>
      <t xml:space="preserve">Regresión Simple </t>
    </r>
    <r>
      <rPr>
        <rFont val="Arial"/>
        <color theme="1"/>
        <sz val="7.0"/>
      </rPr>
      <t>by Pablo Pandolfo</t>
    </r>
  </si>
  <si>
    <t>Horas de Estudio (X)</t>
  </si>
  <si>
    <t>Nota (Y)</t>
  </si>
  <si>
    <t>👉</t>
  </si>
  <si>
    <t>Coef. Corr. Pearson (r)</t>
  </si>
  <si>
    <t>x_mean (x̅)</t>
  </si>
  <si>
    <t>y_mean (ȳ)</t>
  </si>
  <si>
    <t>☝️</t>
  </si>
  <si>
    <t>numerador</t>
  </si>
  <si>
    <t>denominador</t>
  </si>
  <si>
    <t>Suma Total de Cuadrados (ss_total)</t>
  </si>
  <si>
    <t>Valores Predichos (y_pred)</t>
  </si>
  <si>
    <t>Suma de Cuadrados del Error (ss_res)</t>
  </si>
  <si>
    <t>∑</t>
  </si>
  <si>
    <t>b1 (pendiente)</t>
  </si>
  <si>
    <t>b0 (intercepto)</t>
  </si>
  <si>
    <t>R2</t>
  </si>
  <si>
    <t>=</t>
  </si>
  <si>
    <t>b0</t>
  </si>
  <si>
    <t>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</si>
</sst>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3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2" fontId="3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0" fillId="0" fontId="4" numFmtId="0" xfId="0" applyAlignment="1" applyFont="1">
      <alignment horizontal="right" readingOrder="0"/>
    </xf>
    <xf borderId="0" fillId="0" fontId="4" numFmtId="0" xfId="0" applyFont="1"/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Diagrama de Dispersión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1'!$A$4:$A$9</c:f>
            </c:numRef>
          </c:xVal>
          <c:yVal>
            <c:numRef>
              <c:f>'Hoja 1'!$B$4:$B$9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652895"/>
        <c:axId val="666246544"/>
      </c:scatterChart>
      <c:valAx>
        <c:axId val="16876528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de Estudio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6246544"/>
      </c:valAx>
      <c:valAx>
        <c:axId val="666246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Nota (Y)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652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Diagrama de Dispersión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1'!$D$30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'Hoja 1'!$A$31:$A$41</c:f>
            </c:numRef>
          </c:xVal>
          <c:yVal>
            <c:numRef>
              <c:f>'Hoja 1'!$D$31:$D$41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61137"/>
        <c:axId val="1931105544"/>
      </c:scatterChart>
      <c:valAx>
        <c:axId val="20855611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de Estudio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105544"/>
      </c:valAx>
      <c:valAx>
        <c:axId val="1931105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Nota (Y)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561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Diagrama de Dispersión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'Hoja 1'!$B$16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'Hoja 1'!$A$17:$A$23</c:f>
            </c:numRef>
          </c:xVal>
          <c:yVal>
            <c:numRef>
              <c:f>'Hoja 1'!$B$17:$B$23</c:f>
              <c:numCache/>
            </c:numRef>
          </c:yVal>
        </c:ser>
        <c:ser>
          <c:idx val="1"/>
          <c:order val="1"/>
          <c:tx>
            <c:strRef>
              <c:f>'Hoja 1'!$F$16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'Hoja 1'!$A$17:$A$23</c:f>
            </c:numRef>
          </c:xVal>
          <c:yVal>
            <c:numRef>
              <c:f>'Hoja 1'!$F$17:$F$22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096773"/>
        <c:axId val="1367036462"/>
      </c:scatterChart>
      <c:valAx>
        <c:axId val="4710967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de Estudio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036462"/>
      </c:valAx>
      <c:valAx>
        <c:axId val="1367036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0967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1</xdr:row>
      <xdr:rowOff>152400</xdr:rowOff>
    </xdr:from>
    <xdr:ext cx="3924300" cy="2419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</xdr:colOff>
      <xdr:row>28</xdr:row>
      <xdr:rowOff>161925</xdr:rowOff>
    </xdr:from>
    <xdr:ext cx="4210050" cy="25908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314325</xdr:colOff>
      <xdr:row>1</xdr:row>
      <xdr:rowOff>152400</xdr:rowOff>
    </xdr:from>
    <xdr:ext cx="3924300" cy="24193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13.0"/>
    <col customWidth="1" min="5" max="5" width="30.0"/>
    <col customWidth="1" min="6" max="6" width="24.25"/>
    <col customWidth="1" min="7" max="7" width="31.63"/>
    <col customWidth="1" min="8" max="8" width="2.3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D2" s="4"/>
    </row>
    <row r="3">
      <c r="A3" s="5" t="s">
        <v>1</v>
      </c>
      <c r="B3" s="5" t="s">
        <v>2</v>
      </c>
      <c r="D3" s="4"/>
    </row>
    <row r="4">
      <c r="A4" s="6">
        <v>3.0</v>
      </c>
      <c r="B4" s="6">
        <v>8.0</v>
      </c>
    </row>
    <row r="5">
      <c r="A5" s="6">
        <v>6.0</v>
      </c>
      <c r="B5" s="6">
        <v>10.0</v>
      </c>
    </row>
    <row r="6">
      <c r="A6" s="6">
        <v>8.0</v>
      </c>
      <c r="B6" s="6">
        <v>15.0</v>
      </c>
    </row>
    <row r="7">
      <c r="A7" s="6">
        <v>2.0</v>
      </c>
      <c r="B7" s="6">
        <v>7.0</v>
      </c>
      <c r="C7" s="7" t="s">
        <v>3</v>
      </c>
    </row>
    <row r="8">
      <c r="A8" s="6">
        <v>1.0</v>
      </c>
      <c r="B8" s="6">
        <v>5.0</v>
      </c>
    </row>
    <row r="9">
      <c r="A9" s="6">
        <v>7.0</v>
      </c>
      <c r="B9" s="6">
        <v>12.0</v>
      </c>
    </row>
    <row r="11">
      <c r="A11" s="4" t="s">
        <v>4</v>
      </c>
      <c r="B11" s="8">
        <f>PEARSON(A4:A9, B4:B9)</f>
        <v>0.9686049402</v>
      </c>
    </row>
    <row r="12">
      <c r="A12" s="9"/>
      <c r="B12" s="8"/>
    </row>
    <row r="13">
      <c r="A13" s="4" t="s">
        <v>5</v>
      </c>
      <c r="B13" s="8">
        <f>AVERAGE(A4:A9)</f>
        <v>4.5</v>
      </c>
    </row>
    <row r="14">
      <c r="A14" s="4" t="s">
        <v>6</v>
      </c>
      <c r="B14" s="8">
        <f>AVERAGE(B4:B9)</f>
        <v>9.5</v>
      </c>
    </row>
    <row r="15">
      <c r="G15" s="9" t="s">
        <v>7</v>
      </c>
    </row>
    <row r="16">
      <c r="A16" s="5" t="s">
        <v>1</v>
      </c>
      <c r="B16" s="5" t="s">
        <v>2</v>
      </c>
      <c r="C16" s="5" t="s">
        <v>8</v>
      </c>
      <c r="D16" s="5" t="s">
        <v>9</v>
      </c>
      <c r="E16" s="5" t="s">
        <v>10</v>
      </c>
      <c r="F16" s="5" t="s">
        <v>11</v>
      </c>
      <c r="G16" s="5" t="s">
        <v>12</v>
      </c>
    </row>
    <row r="17">
      <c r="A17" s="6">
        <v>3.0</v>
      </c>
      <c r="B17" s="6">
        <v>8.0</v>
      </c>
      <c r="C17" s="10">
        <f t="shared" ref="C17:C22" si="1">(A17-$B$13) * (B17-$B$14)</f>
        <v>2.25</v>
      </c>
      <c r="D17" s="10">
        <f t="shared" ref="D17:D22" si="2">(A17-$B$13)^2</f>
        <v>2.25</v>
      </c>
      <c r="E17" s="10">
        <f t="shared" ref="E17:E22" si="3">(B17-$B$14)^2</f>
        <v>2.25</v>
      </c>
      <c r="F17" s="11">
        <f t="shared" ref="F17:F22" si="4">$B$25*A17 + $B$26</f>
        <v>7.674698795</v>
      </c>
      <c r="G17" s="11">
        <f t="shared" ref="G17:G22" si="5">(B17-F17)^2</f>
        <v>0.1058208739</v>
      </c>
    </row>
    <row r="18">
      <c r="A18" s="6">
        <v>6.0</v>
      </c>
      <c r="B18" s="6">
        <v>10.0</v>
      </c>
      <c r="C18" s="10">
        <f t="shared" si="1"/>
        <v>0.75</v>
      </c>
      <c r="D18" s="10">
        <f t="shared" si="2"/>
        <v>2.25</v>
      </c>
      <c r="E18" s="10">
        <f t="shared" si="3"/>
        <v>0.25</v>
      </c>
      <c r="F18" s="11">
        <f t="shared" si="4"/>
        <v>11.3253012</v>
      </c>
      <c r="G18" s="11">
        <f t="shared" si="5"/>
        <v>1.756423283</v>
      </c>
    </row>
    <row r="19">
      <c r="A19" s="6">
        <v>8.0</v>
      </c>
      <c r="B19" s="6">
        <v>15.0</v>
      </c>
      <c r="C19" s="10">
        <f t="shared" si="1"/>
        <v>19.25</v>
      </c>
      <c r="D19" s="10">
        <f t="shared" si="2"/>
        <v>12.25</v>
      </c>
      <c r="E19" s="10">
        <f t="shared" si="3"/>
        <v>30.25</v>
      </c>
      <c r="F19" s="11">
        <f t="shared" si="4"/>
        <v>13.75903614</v>
      </c>
      <c r="G19" s="11">
        <f t="shared" si="5"/>
        <v>1.53999129</v>
      </c>
    </row>
    <row r="20">
      <c r="A20" s="6">
        <v>2.0</v>
      </c>
      <c r="B20" s="6">
        <v>7.0</v>
      </c>
      <c r="C20" s="10">
        <f t="shared" si="1"/>
        <v>6.25</v>
      </c>
      <c r="D20" s="10">
        <f t="shared" si="2"/>
        <v>6.25</v>
      </c>
      <c r="E20" s="10">
        <f t="shared" si="3"/>
        <v>6.25</v>
      </c>
      <c r="F20" s="11">
        <f t="shared" si="4"/>
        <v>6.457831325</v>
      </c>
      <c r="G20" s="11">
        <f t="shared" si="5"/>
        <v>0.2939468718</v>
      </c>
    </row>
    <row r="21">
      <c r="A21" s="6">
        <v>1.0</v>
      </c>
      <c r="B21" s="6">
        <v>5.0</v>
      </c>
      <c r="C21" s="10">
        <f t="shared" si="1"/>
        <v>15.75</v>
      </c>
      <c r="D21" s="10">
        <f t="shared" si="2"/>
        <v>12.25</v>
      </c>
      <c r="E21" s="10">
        <f t="shared" si="3"/>
        <v>20.25</v>
      </c>
      <c r="F21" s="11">
        <f t="shared" si="4"/>
        <v>5.240963855</v>
      </c>
      <c r="G21" s="11">
        <f t="shared" si="5"/>
        <v>0.05806357962</v>
      </c>
    </row>
    <row r="22">
      <c r="A22" s="6">
        <v>7.0</v>
      </c>
      <c r="B22" s="6">
        <v>12.0</v>
      </c>
      <c r="C22" s="10">
        <f t="shared" si="1"/>
        <v>6.25</v>
      </c>
      <c r="D22" s="10">
        <f t="shared" si="2"/>
        <v>6.25</v>
      </c>
      <c r="E22" s="10">
        <f t="shared" si="3"/>
        <v>6.25</v>
      </c>
      <c r="F22" s="11">
        <f t="shared" si="4"/>
        <v>12.54216867</v>
      </c>
      <c r="G22" s="11">
        <f t="shared" si="5"/>
        <v>0.2939468718</v>
      </c>
    </row>
    <row r="23">
      <c r="B23" s="12" t="s">
        <v>13</v>
      </c>
      <c r="C23" s="10">
        <f t="shared" ref="C23:E23" si="6">SUM(C17:C22)</f>
        <v>50.5</v>
      </c>
      <c r="D23" s="10">
        <f t="shared" si="6"/>
        <v>41.5</v>
      </c>
      <c r="E23" s="10">
        <f t="shared" si="6"/>
        <v>65.5</v>
      </c>
      <c r="G23" s="11">
        <f>SUM(G17:G22)</f>
        <v>4.048192771</v>
      </c>
    </row>
    <row r="25">
      <c r="A25" s="4" t="s">
        <v>14</v>
      </c>
      <c r="B25" s="13">
        <f>C23/D23</f>
        <v>1.21686747</v>
      </c>
    </row>
    <row r="26">
      <c r="A26" s="4" t="s">
        <v>15</v>
      </c>
      <c r="B26" s="13">
        <f>B14 - B25 * B13</f>
        <v>4.024096386</v>
      </c>
    </row>
    <row r="27">
      <c r="A27" s="4" t="s">
        <v>16</v>
      </c>
      <c r="B27" s="13">
        <f>1 - (G23/E23)</f>
        <v>0.9381955302</v>
      </c>
      <c r="C27" s="14" t="s">
        <v>17</v>
      </c>
      <c r="D27" s="13">
        <f>PEARSON(B17:B22,F17:F22)^2</f>
        <v>0.9381955302</v>
      </c>
    </row>
    <row r="30">
      <c r="A30" s="5" t="s">
        <v>1</v>
      </c>
      <c r="B30" s="5" t="s">
        <v>18</v>
      </c>
      <c r="C30" s="5" t="s">
        <v>19</v>
      </c>
      <c r="D30" s="5" t="s">
        <v>2</v>
      </c>
    </row>
    <row r="31">
      <c r="A31" s="6">
        <v>0.0</v>
      </c>
      <c r="B31" s="10">
        <f t="shared" ref="B31:B42" si="7">$B$26</f>
        <v>4.024096386</v>
      </c>
      <c r="C31" s="10">
        <f t="shared" ref="C31:C42" si="8">$B$25</f>
        <v>1.21686747</v>
      </c>
      <c r="D31" s="10">
        <f t="shared" ref="D31:D42" si="9">B31+C31*A31</f>
        <v>4.024096386</v>
      </c>
    </row>
    <row r="32">
      <c r="A32" s="6">
        <v>1.0</v>
      </c>
      <c r="B32" s="10">
        <f t="shared" si="7"/>
        <v>4.024096386</v>
      </c>
      <c r="C32" s="10">
        <f t="shared" si="8"/>
        <v>1.21686747</v>
      </c>
      <c r="D32" s="10">
        <f t="shared" si="9"/>
        <v>5.240963855</v>
      </c>
    </row>
    <row r="33">
      <c r="A33" s="6">
        <v>2.0</v>
      </c>
      <c r="B33" s="10">
        <f t="shared" si="7"/>
        <v>4.024096386</v>
      </c>
      <c r="C33" s="10">
        <f t="shared" si="8"/>
        <v>1.21686747</v>
      </c>
      <c r="D33" s="10">
        <f t="shared" si="9"/>
        <v>6.457831325</v>
      </c>
    </row>
    <row r="34">
      <c r="A34" s="6">
        <v>3.0</v>
      </c>
      <c r="B34" s="10">
        <f t="shared" si="7"/>
        <v>4.024096386</v>
      </c>
      <c r="C34" s="10">
        <f t="shared" si="8"/>
        <v>1.21686747</v>
      </c>
      <c r="D34" s="10">
        <f t="shared" si="9"/>
        <v>7.674698795</v>
      </c>
    </row>
    <row r="35">
      <c r="A35" s="6">
        <v>4.0</v>
      </c>
      <c r="B35" s="10">
        <f t="shared" si="7"/>
        <v>4.024096386</v>
      </c>
      <c r="C35" s="10">
        <f t="shared" si="8"/>
        <v>1.21686747</v>
      </c>
      <c r="D35" s="10">
        <f t="shared" si="9"/>
        <v>8.891566265</v>
      </c>
    </row>
    <row r="36">
      <c r="A36" s="6">
        <v>5.0</v>
      </c>
      <c r="B36" s="10">
        <f t="shared" si="7"/>
        <v>4.024096386</v>
      </c>
      <c r="C36" s="10">
        <f t="shared" si="8"/>
        <v>1.21686747</v>
      </c>
      <c r="D36" s="10">
        <f t="shared" si="9"/>
        <v>10.10843373</v>
      </c>
      <c r="E36" s="15" t="s">
        <v>3</v>
      </c>
    </row>
    <row r="37">
      <c r="A37" s="6">
        <v>6.0</v>
      </c>
      <c r="B37" s="10">
        <f t="shared" si="7"/>
        <v>4.024096386</v>
      </c>
      <c r="C37" s="10">
        <f t="shared" si="8"/>
        <v>1.21686747</v>
      </c>
      <c r="D37" s="10">
        <f t="shared" si="9"/>
        <v>11.3253012</v>
      </c>
    </row>
    <row r="38">
      <c r="A38" s="6">
        <v>7.0</v>
      </c>
      <c r="B38" s="10">
        <f t="shared" si="7"/>
        <v>4.024096386</v>
      </c>
      <c r="C38" s="10">
        <f t="shared" si="8"/>
        <v>1.21686747</v>
      </c>
      <c r="D38" s="10">
        <f t="shared" si="9"/>
        <v>12.54216867</v>
      </c>
    </row>
    <row r="39">
      <c r="A39" s="6">
        <v>8.0</v>
      </c>
      <c r="B39" s="10">
        <f t="shared" si="7"/>
        <v>4.024096386</v>
      </c>
      <c r="C39" s="10">
        <f t="shared" si="8"/>
        <v>1.21686747</v>
      </c>
      <c r="D39" s="10">
        <f t="shared" si="9"/>
        <v>13.75903614</v>
      </c>
    </row>
    <row r="40">
      <c r="A40" s="6">
        <v>9.0</v>
      </c>
      <c r="B40" s="10">
        <f t="shared" si="7"/>
        <v>4.024096386</v>
      </c>
      <c r="C40" s="10">
        <f t="shared" si="8"/>
        <v>1.21686747</v>
      </c>
      <c r="D40" s="10">
        <f t="shared" si="9"/>
        <v>14.97590361</v>
      </c>
    </row>
    <row r="41">
      <c r="A41" s="6">
        <v>10.0</v>
      </c>
      <c r="B41" s="10">
        <f t="shared" si="7"/>
        <v>4.024096386</v>
      </c>
      <c r="C41" s="10">
        <f t="shared" si="8"/>
        <v>1.21686747</v>
      </c>
      <c r="D41" s="10">
        <f t="shared" si="9"/>
        <v>16.19277108</v>
      </c>
    </row>
    <row r="42">
      <c r="A42" s="6">
        <v>80.0</v>
      </c>
      <c r="B42" s="10">
        <f t="shared" si="7"/>
        <v>4.024096386</v>
      </c>
      <c r="C42" s="10">
        <f t="shared" si="8"/>
        <v>1.21686747</v>
      </c>
      <c r="D42" s="10">
        <f t="shared" si="9"/>
        <v>101.373494</v>
      </c>
    </row>
  </sheetData>
  <mergeCells count="1">
    <mergeCell ref="A1:G1"/>
  </mergeCells>
  <drawing r:id="rId2"/>
  <legacyDrawing r:id="rId3"/>
</worksheet>
</file>